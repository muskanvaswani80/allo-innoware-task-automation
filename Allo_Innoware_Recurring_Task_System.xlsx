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mployee_Action_Portal" sheetId="1" state="visible" r:id="rId1"/>
    <sheet name="02_Task_Master" sheetId="2" state="visible" r:id="rId2"/>
    <sheet name="03_Manager_Dashboard" sheetId="3" state="visible" r:id="rId3"/>
    <sheet name="04_Completion_Log" sheetId="4" state="visible" r:id="rId4"/>
    <sheet name="05_Escalations_Log" sheetId="5" state="visible" r:id="rId5"/>
    <sheet name="06_System_Settings_SL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D9E1F2"/>
      <sz val="10"/>
    </font>
    <font>
      <name val="Segoe UI"/>
      <b val="1"/>
      <sz val="10"/>
    </font>
    <font>
      <name val="Segoe UI"/>
      <b val="1"/>
      <color rgb="001F4E78"/>
      <sz val="11"/>
    </font>
    <font>
      <name val="Segoe UI"/>
      <b val="1"/>
      <color rgb="00C00000"/>
      <sz val="11"/>
    </font>
    <font>
      <name val="Segoe UI"/>
      <b val="1"/>
      <color rgb="001F4E78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203764"/>
      <sz val="10"/>
    </font>
    <font>
      <name val="Segoe UI"/>
      <i val="1"/>
      <color rgb="00595959"/>
      <sz val="9"/>
    </font>
    <font>
      <name val="Segoe UI"/>
      <b val="1"/>
      <color rgb="00595959"/>
      <sz val="9"/>
    </font>
    <font>
      <name val="Segoe UI"/>
      <b val="1"/>
      <color rgb="001F4E78"/>
      <sz val="18"/>
    </font>
    <font>
      <name val="Segoe UI"/>
      <b val="1"/>
      <color rgb="00385723"/>
      <sz val="18"/>
    </font>
    <font>
      <name val="Segoe UI"/>
      <b val="1"/>
      <color rgb="00B25900"/>
      <sz val="18"/>
    </font>
    <font>
      <name val="Segoe UI"/>
      <b val="1"/>
      <color rgb="00C00000"/>
      <sz val="18"/>
    </font>
    <font>
      <name val="Segoe UI"/>
      <b val="1"/>
      <color rgb="004C1130"/>
      <sz val="18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03764"/>
        <bgColor rgb="0020376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F2F4F7"/>
        <bgColor rgb="00F2F4F7"/>
      </patternFill>
    </fill>
    <fill>
      <patternFill patternType="solid">
        <fgColor rgb="00E2EFDA"/>
        <bgColor rgb="00E2EFDA"/>
      </patternFill>
    </fill>
    <fill>
      <patternFill patternType="solid">
        <fgColor rgb="00EAD1DC"/>
        <bgColor rgb="00EAD1DC"/>
      </patternFill>
    </fill>
  </fills>
  <borders count="4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D7D31"/>
      </left>
      <right style="thin">
        <color rgb="00ED7D31"/>
      </right>
      <top style="thin">
        <color rgb="00ED7D31"/>
      </top>
      <bottom style="thin">
        <color rgb="00ED7D3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5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center" vertical="center" wrapText="1"/>
    </xf>
    <xf numFmtId="0" fontId="16" fillId="9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8" fillId="4" borderId="2" pivotButton="0" quotePrefix="0" xfId="0"/>
    <xf numFmtId="0" fontId="1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0" customWidth="1" min="4" max="4"/>
    <col width="14" customWidth="1" min="5" max="5"/>
    <col width="12" customWidth="1" min="6" max="6"/>
    <col width="14" customWidth="1" min="7" max="7"/>
    <col width="22" customWidth="1" min="8" max="8"/>
    <col width="36" customWidth="1" min="9" max="9"/>
    <col width="32" customWidth="1" min="10" max="10"/>
    <col width="16" customWidth="1" min="11" max="11"/>
  </cols>
  <sheetData>
    <row r="1" ht="30" customHeight="1">
      <c r="A1" s="1" t="inlineStr">
        <is>
          <t>ALLO INNOWARE  —  EMPLOYEE ACTION PORTAL</t>
        </is>
      </c>
    </row>
    <row r="2" ht="20" customHeight="1">
      <c r="A2" s="2" t="inlineStr">
        <is>
          <t>Single-point workspace: View pending tasks, input Ticket ID / Daily Proof, and submit completion with zero duplicate effort.</t>
        </is>
      </c>
    </row>
    <row r="4">
      <c r="B4" s="3" t="inlineStr">
        <is>
          <t>Active Employee:</t>
        </is>
      </c>
      <c r="C4" s="4" t="inlineStr">
        <is>
          <t>Employee A</t>
        </is>
      </c>
      <c r="E4" s="3" t="inlineStr">
        <is>
          <t>System Date:</t>
        </is>
      </c>
      <c r="F4" s="5" t="inlineStr">
        <is>
          <t>2026-10-23</t>
        </is>
      </c>
      <c r="H4" s="3" t="inlineStr">
        <is>
          <t>Pending Tasks:</t>
        </is>
      </c>
      <c r="I4" s="6">
        <f>COUNTIFS('02_Task_Master'!$C$5:$C$14, $C$4, '02_Task_Master'!$L$5:$L$14, "&lt;&gt;COMPLETED")</f>
        <v/>
      </c>
      <c r="J4" s="3" t="inlineStr">
        <is>
          <t>Overdue Items:</t>
        </is>
      </c>
      <c r="K4" s="7">
        <f>COUNTIFS('02_Task_Master'!$C$5:$C$14, $C$4, '02_Task_Master'!$L$5:$L$14, "OVERDUE")</f>
        <v/>
      </c>
    </row>
    <row r="6" ht="24" customHeight="1">
      <c r="A6" s="8" t="inlineStr">
        <is>
          <t>MY ACTIVE &amp; PENDING RECURRING TASKS (Direct Single-Point Entry Console)</t>
        </is>
      </c>
    </row>
    <row r="7" ht="28" customHeight="1">
      <c r="A7" s="9" t="inlineStr">
        <is>
          <t>Task ID</t>
        </is>
      </c>
      <c r="B7" s="9" t="inlineStr">
        <is>
          <t>Task Name</t>
        </is>
      </c>
      <c r="C7" s="9" t="inlineStr">
        <is>
          <t>Frequency</t>
        </is>
      </c>
      <c r="D7" s="9" t="inlineStr">
        <is>
          <t>Cycle #</t>
        </is>
      </c>
      <c r="E7" s="9" t="inlineStr">
        <is>
          <t>Due Date</t>
        </is>
      </c>
      <c r="F7" s="9" t="inlineStr">
        <is>
          <t>Due Time</t>
        </is>
      </c>
      <c r="G7" s="9" t="inlineStr">
        <is>
          <t>Status</t>
        </is>
      </c>
      <c r="H7" s="9" t="inlineStr">
        <is>
          <t>Required Proof Type</t>
        </is>
      </c>
      <c r="I7" s="10" t="inlineStr">
        <is>
          <t>ENTER COMPLETION PROOF / TICKET ID</t>
        </is>
      </c>
      <c r="J7" s="10" t="inlineStr">
        <is>
          <t>COMPLETION NOTES / SUMMARY</t>
        </is>
      </c>
      <c r="K7" s="10" t="inlineStr">
        <is>
          <t>ACTION: SUBMIT</t>
        </is>
      </c>
    </row>
    <row r="8" ht="24" customHeight="1">
      <c r="A8" s="11" t="inlineStr">
        <is>
          <t>TASK-001</t>
        </is>
      </c>
      <c r="B8" s="12" t="inlineStr">
        <is>
          <t>Daily Operations Update</t>
        </is>
      </c>
      <c r="C8" s="11" t="inlineStr">
        <is>
          <t>Daily</t>
        </is>
      </c>
      <c r="D8" s="11" t="n">
        <v>1</v>
      </c>
      <c r="E8" s="11" t="inlineStr">
        <is>
          <t>2026-10-23</t>
        </is>
      </c>
      <c r="F8" s="11" t="inlineStr">
        <is>
          <t>17:00</t>
        </is>
      </c>
      <c r="G8" s="13" t="inlineStr">
        <is>
          <t>DUE TODAY</t>
        </is>
      </c>
      <c r="H8" s="12" t="inlineStr">
        <is>
          <t>WhatsApp Confirmation</t>
        </is>
      </c>
      <c r="I8" s="14" t="inlineStr">
        <is>
          <t>WA-CONF-1645 / Shared in Ops Group</t>
        </is>
      </c>
      <c r="J8" s="14" t="inlineStr">
        <is>
          <t>Completed morning dispatch &amp; warehouse sync</t>
        </is>
      </c>
      <c r="K8" s="11" t="inlineStr">
        <is>
          <t>Click Menu / Done</t>
        </is>
      </c>
    </row>
    <row r="9" ht="24" customHeight="1">
      <c r="A9" s="11" t="inlineStr">
        <is>
          <t>TASK-005</t>
        </is>
      </c>
      <c r="B9" s="12" t="inlineStr">
        <is>
          <t>Daily Logistics Dispatch Check</t>
        </is>
      </c>
      <c r="C9" s="11" t="inlineStr">
        <is>
          <t>Daily</t>
        </is>
      </c>
      <c r="D9" s="11" t="n">
        <v>1</v>
      </c>
      <c r="E9" s="11" t="inlineStr">
        <is>
          <t>2026-10-23</t>
        </is>
      </c>
      <c r="F9" s="11" t="inlineStr">
        <is>
          <t>17:00</t>
        </is>
      </c>
      <c r="G9" s="13" t="inlineStr">
        <is>
          <t>DUE TODAY</t>
        </is>
      </c>
      <c r="H9" s="12" t="inlineStr">
        <is>
          <t>WhatsApp Confirmation</t>
        </is>
      </c>
      <c r="I9" s="14" t="inlineStr"/>
      <c r="J9" s="14" t="inlineStr"/>
      <c r="K9" s="11" t="inlineStr">
        <is>
          <t>Pending</t>
        </is>
      </c>
    </row>
    <row r="10" ht="24" customHeight="1">
      <c r="A10" s="11" t="inlineStr">
        <is>
          <t>TASK-002</t>
        </is>
      </c>
      <c r="B10" s="12" t="inlineStr">
        <is>
          <t>Portal Task A (Vendor Reconciliation)</t>
        </is>
      </c>
      <c r="C10" s="11" t="inlineStr">
        <is>
          <t>Every 7 days</t>
        </is>
      </c>
      <c r="D10" s="11" t="n">
        <v>1</v>
      </c>
      <c r="E10" s="11" t="inlineStr">
        <is>
          <t>2026-10-25</t>
        </is>
      </c>
      <c r="F10" s="11" t="inlineStr">
        <is>
          <t>18:00</t>
        </is>
      </c>
      <c r="G10" s="15" t="inlineStr">
        <is>
          <t>UPCOMING</t>
        </is>
      </c>
      <c r="H10" s="12" t="inlineStr">
        <is>
          <t>Ticket ID</t>
        </is>
      </c>
      <c r="I10" s="14" t="inlineStr"/>
      <c r="J10" s="14" t="inlineStr"/>
      <c r="K10" s="11" t="inlineStr">
        <is>
          <t>Pending</t>
        </is>
      </c>
    </row>
    <row r="11" ht="24" customHeight="1">
      <c r="A11" s="11" t="inlineStr">
        <is>
          <t>TASK-003</t>
        </is>
      </c>
      <c r="B11" s="12" t="inlineStr">
        <is>
          <t>Portal Task B (Inventory Audit)</t>
        </is>
      </c>
      <c r="C11" s="11" t="inlineStr">
        <is>
          <t>Every 15 days</t>
        </is>
      </c>
      <c r="D11" s="11" t="n">
        <v>1</v>
      </c>
      <c r="E11" s="11" t="inlineStr">
        <is>
          <t>2026-10-22</t>
        </is>
      </c>
      <c r="F11" s="11" t="inlineStr">
        <is>
          <t>18:00</t>
        </is>
      </c>
      <c r="G11" s="16" t="inlineStr">
        <is>
          <t>OVERDUE</t>
        </is>
      </c>
      <c r="H11" s="12" t="inlineStr">
        <is>
          <t>Ticket ID</t>
        </is>
      </c>
      <c r="I11" s="14" t="inlineStr"/>
      <c r="J11" s="14" t="inlineStr"/>
      <c r="K11" s="11" t="inlineStr">
        <is>
          <t>Pending</t>
        </is>
      </c>
    </row>
    <row r="12" ht="24" customHeight="1">
      <c r="A12" s="11" t="inlineStr">
        <is>
          <t>TASK-004</t>
        </is>
      </c>
      <c r="B12" s="12" t="inlineStr">
        <is>
          <t>Portal Task C (Monthly Compliance)</t>
        </is>
      </c>
      <c r="C12" s="11" t="inlineStr">
        <is>
          <t>Every 30 days</t>
        </is>
      </c>
      <c r="D12" s="11" t="n">
        <v>1</v>
      </c>
      <c r="E12" s="11" t="inlineStr">
        <is>
          <t>2026-11-10</t>
        </is>
      </c>
      <c r="F12" s="11" t="inlineStr">
        <is>
          <t>18:00</t>
        </is>
      </c>
      <c r="G12" s="15" t="inlineStr">
        <is>
          <t>UPCOMING</t>
        </is>
      </c>
      <c r="H12" s="12" t="inlineStr">
        <is>
          <t>Ticket ID</t>
        </is>
      </c>
      <c r="I12" s="14" t="inlineStr"/>
      <c r="J12" s="14" t="inlineStr"/>
      <c r="K12" s="11" t="inlineStr">
        <is>
          <t>Pending</t>
        </is>
      </c>
    </row>
    <row r="15">
      <c r="A15" s="17" t="inlineStr">
        <is>
          <t>HOW TO COMPLETE TASKS WITHOUT DUPLICATE WORK</t>
        </is>
      </c>
    </row>
    <row r="16">
      <c r="A16" s="18" t="inlineStr">
        <is>
          <t>1. Select your name in Cell C4 to filter your active assignments.</t>
        </is>
      </c>
    </row>
    <row r="17">
      <c r="A17" s="18" t="inlineStr">
        <is>
          <t>2. Review your pending tasks. Overdue tasks are highlighted in soft RED, and today's tasks in soft YELLOW.</t>
        </is>
      </c>
    </row>
    <row r="18">
      <c r="A18" s="18" t="inlineStr">
        <is>
          <t>3. For Portal Tasks: Enter the portal Ticket ID (e.g., TKT-10492) into Column I ('ENTER COMPLETION PROOF / TICKET ID').</t>
        </is>
      </c>
    </row>
    <row r="19">
      <c r="A19" s="18" t="inlineStr">
        <is>
          <t>4. For Daily Tasks: Confirm your WhatsApp group update by entering confirmation text or link (e.g., 'WA-CONF / Posted update at 10:30 AM') in Column I.</t>
        </is>
      </c>
    </row>
    <row r="20">
      <c r="A20" s="18" t="inlineStr">
        <is>
          <t>5. Submit Completion: Use the custom menu '🚀 Allo Innoware Ops &gt; Submit Task Completion' or tick the checkbox in Google Sheets.</t>
        </is>
      </c>
    </row>
    <row r="21">
      <c r="A21" s="18" t="inlineStr">
        <is>
          <t>6. Automation Result: The Apps Script logs the completion to '04_Completion_Log', increments the cycle number, auto-calculates the next due date, and resets the task for the next cycle automatically.</t>
        </is>
      </c>
    </row>
  </sheetData>
  <mergeCells count="10">
    <mergeCell ref="A6:K6"/>
    <mergeCell ref="A18:K18"/>
    <mergeCell ref="A20:K20"/>
    <mergeCell ref="A21:K21"/>
    <mergeCell ref="A15:K15"/>
    <mergeCell ref="A2:K2"/>
    <mergeCell ref="A16:K16"/>
    <mergeCell ref="A19:K19"/>
    <mergeCell ref="A1:K1"/>
    <mergeCell ref="A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24" customWidth="1" min="4" max="4"/>
    <col width="16" customWidth="1" min="5" max="5"/>
    <col width="15" customWidth="1" min="6" max="6"/>
    <col width="15" customWidth="1" min="7" max="7"/>
    <col width="22" customWidth="1" min="8" max="8"/>
    <col width="13" customWidth="1" min="9" max="9"/>
    <col width="16" customWidth="1" min="10" max="10"/>
    <col width="12" customWidth="1" min="11" max="11"/>
    <col width="15" customWidth="1" min="12" max="12"/>
    <col width="15" customWidth="1" min="13" max="13"/>
    <col width="18" customWidth="1" min="14" max="14"/>
    <col width="22" customWidth="1" min="15" max="15"/>
    <col width="26" customWidth="1" min="16" max="16"/>
    <col width="12" customWidth="1" min="17" max="17"/>
    <col width="22" customWidth="1" min="18" max="18"/>
    <col width="20" customWidth="1" min="19" max="19"/>
    <col width="22" customWidth="1" min="20" max="20"/>
    <col width="30" customWidth="1" min="21" max="21"/>
    <col width="24" customWidth="1" min="22" max="22"/>
    <col width="10" customWidth="1" min="23" max="23"/>
  </cols>
  <sheetData>
    <row r="1" ht="30" customHeight="1">
      <c r="A1" s="1" t="inlineStr">
        <is>
          <t>ALLO INNOWARE  —  RECURRING TASK MASTER CONFIGURATION &amp; STATE MACHINE</t>
        </is>
      </c>
    </row>
    <row r="2" ht="20" customHeight="1">
      <c r="A2" s="2" t="inlineStr">
        <is>
          <t>Master state table tracking recurrence cycles, current due dates, SLA status, manager acknowledgment, and leadership escalation flags.</t>
        </is>
      </c>
    </row>
    <row r="4" ht="28" customHeight="1">
      <c r="A4" s="9" t="inlineStr">
        <is>
          <t>Task_ID</t>
        </is>
      </c>
      <c r="B4" s="9" t="inlineStr">
        <is>
          <t>Task_Name</t>
        </is>
      </c>
      <c r="C4" s="9" t="inlineStr">
        <is>
          <t>Assigned_To</t>
        </is>
      </c>
      <c r="D4" s="9" t="inlineStr">
        <is>
          <t>Employee_Email</t>
        </is>
      </c>
      <c r="E4" s="9" t="inlineStr">
        <is>
          <t>Department</t>
        </is>
      </c>
      <c r="F4" s="9" t="inlineStr">
        <is>
          <t>Frequency</t>
        </is>
      </c>
      <c r="G4" s="9" t="inlineStr">
        <is>
          <t>Frequency_Days</t>
        </is>
      </c>
      <c r="H4" s="9" t="inlineStr">
        <is>
          <t>Expected_Proof</t>
        </is>
      </c>
      <c r="I4" s="9" t="inlineStr">
        <is>
          <t>Cycle_Number</t>
        </is>
      </c>
      <c r="J4" s="9" t="inlineStr">
        <is>
          <t>Current_Due_Date</t>
        </is>
      </c>
      <c r="K4" s="9" t="inlineStr">
        <is>
          <t>Due_Time</t>
        </is>
      </c>
      <c r="L4" s="9" t="inlineStr">
        <is>
          <t>Current_Status</t>
        </is>
      </c>
      <c r="M4" s="9" t="inlineStr">
        <is>
          <t>Days_Remaining</t>
        </is>
      </c>
      <c r="N4" s="9" t="inlineStr">
        <is>
          <t>Last_Completed_Date</t>
        </is>
      </c>
      <c r="O4" s="9" t="inlineStr">
        <is>
          <t>Last_Completed_By</t>
        </is>
      </c>
      <c r="P4" s="9" t="inlineStr">
        <is>
          <t>Last_Ticket_Proof</t>
        </is>
      </c>
      <c r="Q4" s="9" t="inlineStr">
        <is>
          <t>Alert_Level</t>
        </is>
      </c>
      <c r="R4" s="9" t="inlineStr">
        <is>
          <t>Last_Manager_Alert_At</t>
        </is>
      </c>
      <c r="S4" s="9" t="inlineStr">
        <is>
          <t>Manager_Ack_Status</t>
        </is>
      </c>
      <c r="T4" s="9" t="inlineStr">
        <is>
          <t>Manager_Ack_At</t>
        </is>
      </c>
      <c r="U4" s="9" t="inlineStr">
        <is>
          <t>Manager_Notes</t>
        </is>
      </c>
      <c r="V4" s="9" t="inlineStr">
        <is>
          <t>Leadership_Escalated_At</t>
        </is>
      </c>
      <c r="W4" s="9" t="inlineStr">
        <is>
          <t>Is_Active</t>
        </is>
      </c>
    </row>
    <row r="5" ht="22" customHeight="1">
      <c r="A5" s="11" t="inlineStr">
        <is>
          <t>TASK-001</t>
        </is>
      </c>
      <c r="B5" s="12" t="inlineStr">
        <is>
          <t>Daily Operations Update</t>
        </is>
      </c>
      <c r="C5" s="11" t="inlineStr">
        <is>
          <t>Employee A</t>
        </is>
      </c>
      <c r="D5" s="12" t="inlineStr">
        <is>
          <t>employee.a@alloinnoware.com</t>
        </is>
      </c>
      <c r="E5" s="12" t="inlineStr">
        <is>
          <t>Operations</t>
        </is>
      </c>
      <c r="F5" s="11" t="inlineStr">
        <is>
          <t>Daily</t>
        </is>
      </c>
      <c r="G5" s="11" t="n">
        <v>1</v>
      </c>
      <c r="H5" s="12" t="inlineStr">
        <is>
          <t>WhatsApp Confirmation</t>
        </is>
      </c>
      <c r="I5" s="11" t="n">
        <v>1</v>
      </c>
      <c r="J5" s="11" t="inlineStr">
        <is>
          <t>2026-10-23</t>
        </is>
      </c>
      <c r="K5" s="11" t="inlineStr">
        <is>
          <t>17:00</t>
        </is>
      </c>
      <c r="L5" s="11">
        <f>IF(N5&gt;=J5,"COMPLETED",IF(TODAY()&gt;J5,"OVERDUE",IF(TODAY()=J5,"DUE TODAY","UPCOMING")))</f>
        <v/>
      </c>
      <c r="M5" s="11">
        <f>J5-TODAY()</f>
        <v/>
      </c>
      <c r="N5" s="12" t="inlineStr"/>
      <c r="O5" s="12" t="inlineStr"/>
      <c r="P5" s="12" t="inlineStr"/>
      <c r="Q5" s="11" t="n">
        <v>0</v>
      </c>
      <c r="R5" s="12" t="inlineStr"/>
      <c r="S5" s="11" t="inlineStr">
        <is>
          <t>Not Required</t>
        </is>
      </c>
      <c r="T5" s="12" t="inlineStr"/>
      <c r="U5" s="12" t="inlineStr"/>
      <c r="V5" s="12" t="inlineStr"/>
      <c r="W5" s="11" t="inlineStr">
        <is>
          <t>TRUE</t>
        </is>
      </c>
    </row>
    <row r="6" ht="22" customHeight="1">
      <c r="A6" s="11" t="inlineStr">
        <is>
          <t>TASK-002</t>
        </is>
      </c>
      <c r="B6" s="12" t="inlineStr">
        <is>
          <t>Portal Task A</t>
        </is>
      </c>
      <c r="C6" s="11" t="inlineStr">
        <is>
          <t>Employee B</t>
        </is>
      </c>
      <c r="D6" s="12" t="inlineStr">
        <is>
          <t>employee.b@alloinnoware.com</t>
        </is>
      </c>
      <c r="E6" s="12" t="inlineStr">
        <is>
          <t>IT Systems</t>
        </is>
      </c>
      <c r="F6" s="11" t="inlineStr">
        <is>
          <t>Every 7 days</t>
        </is>
      </c>
      <c r="G6" s="11" t="n">
        <v>7</v>
      </c>
      <c r="H6" s="12" t="inlineStr">
        <is>
          <t>Ticket ID</t>
        </is>
      </c>
      <c r="I6" s="11" t="n">
        <v>1</v>
      </c>
      <c r="J6" s="11" t="inlineStr">
        <is>
          <t>2026-10-26</t>
        </is>
      </c>
      <c r="K6" s="11" t="inlineStr">
        <is>
          <t>18:00</t>
        </is>
      </c>
      <c r="L6" s="11">
        <f>IF(N6&gt;=J6,"COMPLETED",IF(TODAY()&gt;J6,"OVERDUE",IF(TODAY()=J6,"DUE TODAY","UPCOMING")))</f>
        <v/>
      </c>
      <c r="M6" s="11">
        <f>J6-TODAY()</f>
        <v/>
      </c>
      <c r="N6" s="12" t="inlineStr"/>
      <c r="O6" s="12" t="inlineStr"/>
      <c r="P6" s="12" t="inlineStr"/>
      <c r="Q6" s="11" t="n">
        <v>0</v>
      </c>
      <c r="R6" s="12" t="inlineStr"/>
      <c r="S6" s="11" t="inlineStr">
        <is>
          <t>Not Required</t>
        </is>
      </c>
      <c r="T6" s="12" t="inlineStr"/>
      <c r="U6" s="12" t="inlineStr"/>
      <c r="V6" s="12" t="inlineStr"/>
      <c r="W6" s="11" t="inlineStr">
        <is>
          <t>TRUE</t>
        </is>
      </c>
    </row>
    <row r="7" ht="22" customHeight="1">
      <c r="A7" s="11" t="inlineStr">
        <is>
          <t>TASK-003</t>
        </is>
      </c>
      <c r="B7" s="12" t="inlineStr">
        <is>
          <t>Portal Task B</t>
        </is>
      </c>
      <c r="C7" s="11" t="inlineStr">
        <is>
          <t>Employee C</t>
        </is>
      </c>
      <c r="D7" s="12" t="inlineStr">
        <is>
          <t>employee.c@alloinnoware.com</t>
        </is>
      </c>
      <c r="E7" s="12" t="inlineStr">
        <is>
          <t>Supply Chain</t>
        </is>
      </c>
      <c r="F7" s="11" t="inlineStr">
        <is>
          <t>Every 15 days</t>
        </is>
      </c>
      <c r="G7" s="11" t="n">
        <v>15</v>
      </c>
      <c r="H7" s="12" t="inlineStr">
        <is>
          <t>Ticket ID</t>
        </is>
      </c>
      <c r="I7" s="11" t="n">
        <v>1</v>
      </c>
      <c r="J7" s="11" t="inlineStr">
        <is>
          <t>2026-10-22</t>
        </is>
      </c>
      <c r="K7" s="11" t="inlineStr">
        <is>
          <t>18:00</t>
        </is>
      </c>
      <c r="L7" s="11">
        <f>IF(N7&gt;=J7,"COMPLETED",IF(TODAY()&gt;J7,"OVERDUE",IF(TODAY()=J7,"DUE TODAY","UPCOMING")))</f>
        <v/>
      </c>
      <c r="M7" s="11">
        <f>J7-TODAY()</f>
        <v/>
      </c>
      <c r="N7" s="12" t="inlineStr"/>
      <c r="O7" s="12" t="inlineStr"/>
      <c r="P7" s="12" t="inlineStr"/>
      <c r="Q7" s="11" t="n">
        <v>1</v>
      </c>
      <c r="R7" s="12" t="inlineStr">
        <is>
          <t>2026-10-23 17:15:00</t>
        </is>
      </c>
      <c r="S7" s="11" t="inlineStr">
        <is>
          <t>Pending Review</t>
        </is>
      </c>
      <c r="T7" s="12" t="inlineStr"/>
      <c r="U7" s="12" t="inlineStr"/>
      <c r="V7" s="12" t="inlineStr"/>
      <c r="W7" s="11" t="inlineStr">
        <is>
          <t>TRUE</t>
        </is>
      </c>
    </row>
    <row r="8" ht="22" customHeight="1">
      <c r="A8" s="11" t="inlineStr">
        <is>
          <t>TASK-004</t>
        </is>
      </c>
      <c r="B8" s="12" t="inlineStr">
        <is>
          <t>Portal Task C</t>
        </is>
      </c>
      <c r="C8" s="11" t="inlineStr">
        <is>
          <t>Employee D</t>
        </is>
      </c>
      <c r="D8" s="12" t="inlineStr">
        <is>
          <t>employee.d@alloinnoware.com</t>
        </is>
      </c>
      <c r="E8" s="12" t="inlineStr">
        <is>
          <t>Compliance</t>
        </is>
      </c>
      <c r="F8" s="11" t="inlineStr">
        <is>
          <t>Every 30 days</t>
        </is>
      </c>
      <c r="G8" s="11" t="n">
        <v>30</v>
      </c>
      <c r="H8" s="12" t="inlineStr">
        <is>
          <t>Ticket ID</t>
        </is>
      </c>
      <c r="I8" s="11" t="n">
        <v>1</v>
      </c>
      <c r="J8" s="11" t="inlineStr">
        <is>
          <t>2026-11-06</t>
        </is>
      </c>
      <c r="K8" s="11" t="inlineStr">
        <is>
          <t>18:00</t>
        </is>
      </c>
      <c r="L8" s="11">
        <f>IF(N8&gt;=J8,"COMPLETED",IF(TODAY()&gt;J8,"OVERDUE",IF(TODAY()=J8,"DUE TODAY","UPCOMING")))</f>
        <v/>
      </c>
      <c r="M8" s="11">
        <f>J8-TODAY()</f>
        <v/>
      </c>
      <c r="N8" s="12" t="inlineStr"/>
      <c r="O8" s="12" t="inlineStr"/>
      <c r="P8" s="12" t="inlineStr"/>
      <c r="Q8" s="11" t="n">
        <v>0</v>
      </c>
      <c r="R8" s="12" t="inlineStr"/>
      <c r="S8" s="11" t="inlineStr">
        <is>
          <t>Not Required</t>
        </is>
      </c>
      <c r="T8" s="12" t="inlineStr"/>
      <c r="U8" s="12" t="inlineStr"/>
      <c r="V8" s="12" t="inlineStr"/>
      <c r="W8" s="11" t="inlineStr">
        <is>
          <t>TRUE</t>
        </is>
      </c>
    </row>
    <row r="9" ht="22" customHeight="1">
      <c r="A9" s="11" t="inlineStr">
        <is>
          <t>TASK-005</t>
        </is>
      </c>
      <c r="B9" s="12" t="inlineStr">
        <is>
          <t>Daily Dispatch Logistics Check</t>
        </is>
      </c>
      <c r="C9" s="11" t="inlineStr">
        <is>
          <t>Employee A</t>
        </is>
      </c>
      <c r="D9" s="12" t="inlineStr">
        <is>
          <t>employee.a@alloinnoware.com</t>
        </is>
      </c>
      <c r="E9" s="12" t="inlineStr">
        <is>
          <t>Logistics</t>
        </is>
      </c>
      <c r="F9" s="11" t="inlineStr">
        <is>
          <t>Daily</t>
        </is>
      </c>
      <c r="G9" s="11" t="n">
        <v>1</v>
      </c>
      <c r="H9" s="12" t="inlineStr">
        <is>
          <t>WhatsApp Confirmation</t>
        </is>
      </c>
      <c r="I9" s="11" t="n">
        <v>1</v>
      </c>
      <c r="J9" s="11" t="inlineStr">
        <is>
          <t>2026-10-23</t>
        </is>
      </c>
      <c r="K9" s="11" t="inlineStr">
        <is>
          <t>17:00</t>
        </is>
      </c>
      <c r="L9" s="11">
        <f>IF(N9&gt;=J9,"COMPLETED",IF(TODAY()&gt;J9,"OVERDUE",IF(TODAY()=J9,"DUE TODAY","UPCOMING")))</f>
        <v/>
      </c>
      <c r="M9" s="11">
        <f>J9-TODAY()</f>
        <v/>
      </c>
      <c r="N9" s="12" t="inlineStr"/>
      <c r="O9" s="12" t="inlineStr"/>
      <c r="P9" s="12" t="inlineStr"/>
      <c r="Q9" s="11" t="n">
        <v>0</v>
      </c>
      <c r="R9" s="12" t="inlineStr"/>
      <c r="S9" s="11" t="inlineStr">
        <is>
          <t>Not Required</t>
        </is>
      </c>
      <c r="T9" s="12" t="inlineStr"/>
      <c r="U9" s="12" t="inlineStr"/>
      <c r="V9" s="12" t="inlineStr"/>
      <c r="W9" s="11" t="inlineStr">
        <is>
          <t>TRUE</t>
        </is>
      </c>
    </row>
    <row r="10" ht="22" customHeight="1">
      <c r="A10" s="11" t="inlineStr">
        <is>
          <t>TASK-006</t>
        </is>
      </c>
      <c r="B10" s="12" t="inlineStr">
        <is>
          <t>Weekly Security Audit &amp; Ticket</t>
        </is>
      </c>
      <c r="C10" s="11" t="inlineStr">
        <is>
          <t>Employee B</t>
        </is>
      </c>
      <c r="D10" s="12" t="inlineStr">
        <is>
          <t>employee.b@alloinnoware.com</t>
        </is>
      </c>
      <c r="E10" s="12" t="inlineStr">
        <is>
          <t>Information Security</t>
        </is>
      </c>
      <c r="F10" s="11" t="inlineStr">
        <is>
          <t>Every 7 days</t>
        </is>
      </c>
      <c r="G10" s="11" t="n">
        <v>7</v>
      </c>
      <c r="H10" s="12" t="inlineStr">
        <is>
          <t>Ticket ID</t>
        </is>
      </c>
      <c r="I10" s="11" t="n">
        <v>2</v>
      </c>
      <c r="J10" s="11" t="inlineStr">
        <is>
          <t>2026-10-21</t>
        </is>
      </c>
      <c r="K10" s="11" t="inlineStr">
        <is>
          <t>18:00</t>
        </is>
      </c>
      <c r="L10" s="11">
        <f>IF(N10&gt;=J10,"COMPLETED",IF(TODAY()&gt;J10,"OVERDUE",IF(TODAY()=J10,"DUE TODAY","UPCOMING")))</f>
        <v/>
      </c>
      <c r="M10" s="11">
        <f>J10-TODAY()</f>
        <v/>
      </c>
      <c r="N10" s="12" t="inlineStr"/>
      <c r="O10" s="12" t="inlineStr"/>
      <c r="P10" s="12" t="inlineStr"/>
      <c r="Q10" s="11" t="n">
        <v>3</v>
      </c>
      <c r="R10" s="12" t="inlineStr">
        <is>
          <t>2026-10-22 18:30:00</t>
        </is>
      </c>
      <c r="S10" s="11" t="inlineStr">
        <is>
          <t>Acknowledged</t>
        </is>
      </c>
      <c r="T10" s="12" t="inlineStr">
        <is>
          <t>2026-10-22 20:15:00</t>
        </is>
      </c>
      <c r="U10" s="12" t="inlineStr">
        <is>
          <t>Escalated: Vendor portal maintenance delayed completion</t>
        </is>
      </c>
      <c r="V10" s="12" t="inlineStr">
        <is>
          <t>2026-10-23 12:00:00</t>
        </is>
      </c>
      <c r="W10" s="11" t="inlineStr">
        <is>
          <t>TRUE</t>
        </is>
      </c>
    </row>
  </sheetData>
  <mergeCells count="2">
    <mergeCell ref="A2:W2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4" customWidth="1" min="4" max="4"/>
    <col width="10" customWidth="1" min="5" max="5"/>
    <col width="14" customWidth="1" min="6" max="6"/>
    <col width="15" customWidth="1" min="7" max="7"/>
    <col width="14" customWidth="1" min="8" max="8"/>
    <col width="20" customWidth="1" min="9" max="9"/>
    <col width="16" customWidth="1" min="10" max="10"/>
    <col width="24" customWidth="1" min="11" max="11"/>
  </cols>
  <sheetData>
    <row r="1" ht="30" customHeight="1">
      <c r="A1" s="1" t="inlineStr">
        <is>
          <t>ALLO INNOWARE  —  OPERATIONS MANAGER COMMAND DASHBOARD</t>
        </is>
      </c>
    </row>
    <row r="2" ht="20" customHeight="1">
      <c r="A2" s="2" t="inlineStr">
        <is>
          <t>Real-time oversight of recurring operational tasks, pending alerts, SLA compliance, and manager review station.</t>
        </is>
      </c>
    </row>
    <row r="4" ht="18" customHeight="1">
      <c r="B4" s="19" t="inlineStr">
        <is>
          <t>TOTAL RECURRING TASKS</t>
        </is>
      </c>
      <c r="C4" s="20" t="n"/>
      <c r="D4" s="19" t="inlineStr">
        <is>
          <t>TASKS COMPLETED TODAY</t>
        </is>
      </c>
      <c r="E4" s="20" t="n"/>
      <c r="F4" s="19" t="inlineStr">
        <is>
          <t>PENDING / DUE TODAY</t>
        </is>
      </c>
      <c r="G4" s="20" t="n"/>
      <c r="H4" s="19" t="inlineStr">
        <is>
          <t>OVERDUE / ALERT SENT</t>
        </is>
      </c>
      <c r="I4" s="20" t="n"/>
      <c r="J4" s="19" t="inlineStr">
        <is>
          <t>LEADERSHIP ESCALATIONS</t>
        </is>
      </c>
      <c r="K4" s="20" t="n"/>
    </row>
    <row r="5" ht="32" customHeight="1">
      <c r="B5" s="21">
        <f>COUNTA('02_Task_Master'!$A$5:$A$10)</f>
        <v/>
      </c>
      <c r="C5" s="20" t="n"/>
      <c r="D5" s="22">
        <f>COUNTIF('02_Task_Master'!$L$5:$L$10, "COMPLETED")</f>
        <v/>
      </c>
      <c r="E5" s="20" t="n"/>
      <c r="F5" s="23">
        <f>COUNTIF('02_Task_Master'!$L$5:$L$10, "DUE TODAY")</f>
        <v/>
      </c>
      <c r="G5" s="20" t="n"/>
      <c r="H5" s="24">
        <f>COUNTIF('02_Task_Master'!$L$5:$L$10, "OVERDUE")</f>
        <v/>
      </c>
      <c r="I5" s="20" t="n"/>
      <c r="J5" s="25">
        <f>COUNTIF('02_Task_Master'!$Q$5:$Q$10, 3)</f>
        <v/>
      </c>
      <c r="K5" s="20" t="n"/>
    </row>
    <row r="7" ht="24" customHeight="1">
      <c r="A7" s="8" t="inlineStr">
        <is>
          <t>TEAM TASK RECURRENCE STATUS OVERVIEW</t>
        </is>
      </c>
    </row>
    <row r="8" ht="26" customHeight="1">
      <c r="A8" s="9" t="inlineStr">
        <is>
          <t>Task ID</t>
        </is>
      </c>
      <c r="B8" s="9" t="inlineStr">
        <is>
          <t>Task Name</t>
        </is>
      </c>
      <c r="C8" s="9" t="inlineStr">
        <is>
          <t>Assigned To</t>
        </is>
      </c>
      <c r="D8" s="9" t="inlineStr">
        <is>
          <t>Frequency</t>
        </is>
      </c>
      <c r="E8" s="9" t="inlineStr">
        <is>
          <t>Cycle #</t>
        </is>
      </c>
      <c r="F8" s="9" t="inlineStr">
        <is>
          <t>Due Date</t>
        </is>
      </c>
      <c r="G8" s="9" t="inlineStr">
        <is>
          <t>Current Status</t>
        </is>
      </c>
      <c r="H8" s="9" t="inlineStr">
        <is>
          <t>Alert Level</t>
        </is>
      </c>
      <c r="I8" s="9" t="inlineStr">
        <is>
          <t>Manager Ack Status</t>
        </is>
      </c>
      <c r="J8" s="9" t="inlineStr">
        <is>
          <t>Last Completed</t>
        </is>
      </c>
      <c r="K8" s="9" t="inlineStr">
        <is>
          <t>Action / Escalation Status</t>
        </is>
      </c>
    </row>
    <row r="9" ht="22" customHeight="1">
      <c r="A9" s="11" t="inlineStr">
        <is>
          <t>TASK-001</t>
        </is>
      </c>
      <c r="B9" s="12" t="inlineStr">
        <is>
          <t>Daily Operations Update</t>
        </is>
      </c>
      <c r="C9" s="11" t="inlineStr">
        <is>
          <t>Employee A</t>
        </is>
      </c>
      <c r="D9" s="11" t="inlineStr">
        <is>
          <t>Daily</t>
        </is>
      </c>
      <c r="E9" s="11" t="n">
        <v>1</v>
      </c>
      <c r="F9" s="11" t="inlineStr">
        <is>
          <t>2026-10-23</t>
        </is>
      </c>
      <c r="G9" s="26" t="inlineStr">
        <is>
          <t>DUE TODAY</t>
        </is>
      </c>
      <c r="H9" s="11" t="inlineStr">
        <is>
          <t>Normal (0)</t>
        </is>
      </c>
      <c r="I9" s="11" t="inlineStr">
        <is>
          <t>Not Required</t>
        </is>
      </c>
      <c r="J9" s="11" t="inlineStr">
        <is>
          <t>Yesterday 16:45</t>
        </is>
      </c>
      <c r="K9" s="12" t="inlineStr">
        <is>
          <t>On Track (Due 17:00)</t>
        </is>
      </c>
    </row>
    <row r="10" ht="22" customHeight="1">
      <c r="A10" s="11" t="inlineStr">
        <is>
          <t>TASK-005</t>
        </is>
      </c>
      <c r="B10" s="12" t="inlineStr">
        <is>
          <t>Daily Logistics Dispatch Check</t>
        </is>
      </c>
      <c r="C10" s="11" t="inlineStr">
        <is>
          <t>Employee A</t>
        </is>
      </c>
      <c r="D10" s="11" t="inlineStr">
        <is>
          <t>Daily</t>
        </is>
      </c>
      <c r="E10" s="11" t="n">
        <v>1</v>
      </c>
      <c r="F10" s="11" t="inlineStr">
        <is>
          <t>2026-10-23</t>
        </is>
      </c>
      <c r="G10" s="26" t="inlineStr">
        <is>
          <t>DUE TODAY</t>
        </is>
      </c>
      <c r="H10" s="11" t="inlineStr">
        <is>
          <t>Normal (0)</t>
        </is>
      </c>
      <c r="I10" s="11" t="inlineStr">
        <is>
          <t>Not Required</t>
        </is>
      </c>
      <c r="J10" s="11" t="inlineStr">
        <is>
          <t>Yesterday 16:50</t>
        </is>
      </c>
      <c r="K10" s="12" t="inlineStr">
        <is>
          <t>On Track (Due 17:00)</t>
        </is>
      </c>
    </row>
    <row r="11" ht="22" customHeight="1">
      <c r="A11" s="11" t="inlineStr">
        <is>
          <t>TASK-002</t>
        </is>
      </c>
      <c r="B11" s="12" t="inlineStr">
        <is>
          <t>Portal Task A</t>
        </is>
      </c>
      <c r="C11" s="11" t="inlineStr">
        <is>
          <t>Employee B</t>
        </is>
      </c>
      <c r="D11" s="11" t="inlineStr">
        <is>
          <t>Every 7 days</t>
        </is>
      </c>
      <c r="E11" s="11" t="n">
        <v>1</v>
      </c>
      <c r="F11" s="11" t="inlineStr">
        <is>
          <t>2026-10-26</t>
        </is>
      </c>
      <c r="G11" s="15" t="inlineStr">
        <is>
          <t>UPCOMING</t>
        </is>
      </c>
      <c r="H11" s="11" t="inlineStr">
        <is>
          <t>Normal (0)</t>
        </is>
      </c>
      <c r="I11" s="11" t="inlineStr">
        <is>
          <t>Not Required</t>
        </is>
      </c>
      <c r="J11" s="11" t="inlineStr">
        <is>
          <t>7 days ago</t>
        </is>
      </c>
      <c r="K11" s="12" t="inlineStr">
        <is>
          <t>On Track</t>
        </is>
      </c>
    </row>
    <row r="12" ht="22" customHeight="1">
      <c r="A12" s="11" t="inlineStr">
        <is>
          <t>TASK-003</t>
        </is>
      </c>
      <c r="B12" s="12" t="inlineStr">
        <is>
          <t>Portal Task B</t>
        </is>
      </c>
      <c r="C12" s="11" t="inlineStr">
        <is>
          <t>Employee C</t>
        </is>
      </c>
      <c r="D12" s="11" t="inlineStr">
        <is>
          <t>Every 15 days</t>
        </is>
      </c>
      <c r="E12" s="11" t="n">
        <v>1</v>
      </c>
      <c r="F12" s="11" t="inlineStr">
        <is>
          <t>2026-10-22</t>
        </is>
      </c>
      <c r="G12" s="16" t="inlineStr">
        <is>
          <t>OVERDUE</t>
        </is>
      </c>
      <c r="H12" s="11" t="inlineStr">
        <is>
          <t>Stage 1 Alert</t>
        </is>
      </c>
      <c r="I12" s="11" t="inlineStr">
        <is>
          <t>Pending Review</t>
        </is>
      </c>
      <c r="J12" s="11" t="inlineStr">
        <is>
          <t>16 days ago</t>
        </is>
      </c>
      <c r="K12" s="16" t="inlineStr">
        <is>
          <t>ACTION REQUIRED: Manager Review</t>
        </is>
      </c>
    </row>
    <row r="13" ht="22" customHeight="1">
      <c r="A13" s="11" t="inlineStr">
        <is>
          <t>TASK-004</t>
        </is>
      </c>
      <c r="B13" s="12" t="inlineStr">
        <is>
          <t>Portal Task C</t>
        </is>
      </c>
      <c r="C13" s="11" t="inlineStr">
        <is>
          <t>Employee D</t>
        </is>
      </c>
      <c r="D13" s="11" t="inlineStr">
        <is>
          <t>Every 30 days</t>
        </is>
      </c>
      <c r="E13" s="11" t="n">
        <v>1</v>
      </c>
      <c r="F13" s="11" t="inlineStr">
        <is>
          <t>2026-11-06</t>
        </is>
      </c>
      <c r="G13" s="15" t="inlineStr">
        <is>
          <t>UPCOMING</t>
        </is>
      </c>
      <c r="H13" s="11" t="inlineStr">
        <is>
          <t>Normal (0)</t>
        </is>
      </c>
      <c r="I13" s="11" t="inlineStr">
        <is>
          <t>Not Required</t>
        </is>
      </c>
      <c r="J13" s="11" t="inlineStr">
        <is>
          <t>16 days ago</t>
        </is>
      </c>
      <c r="K13" s="12" t="inlineStr">
        <is>
          <t>On Track</t>
        </is>
      </c>
    </row>
    <row r="14" ht="22" customHeight="1">
      <c r="A14" s="11" t="inlineStr">
        <is>
          <t>TASK-006</t>
        </is>
      </c>
      <c r="B14" s="12" t="inlineStr">
        <is>
          <t>Weekly Security Audit &amp; Ticket</t>
        </is>
      </c>
      <c r="C14" s="11" t="inlineStr">
        <is>
          <t>Employee B</t>
        </is>
      </c>
      <c r="D14" s="11" t="inlineStr">
        <is>
          <t>Every 7 days</t>
        </is>
      </c>
      <c r="E14" s="11" t="n">
        <v>2</v>
      </c>
      <c r="F14" s="11" t="inlineStr">
        <is>
          <t>2026-10-21</t>
        </is>
      </c>
      <c r="G14" s="16" t="inlineStr">
        <is>
          <t>OVERDUE</t>
        </is>
      </c>
      <c r="H14" s="11" t="inlineStr">
        <is>
          <t>Stage 3 Escalated</t>
        </is>
      </c>
      <c r="I14" s="11" t="inlineStr">
        <is>
          <t>Acknowledged</t>
        </is>
      </c>
      <c r="J14" s="11" t="inlineStr">
        <is>
          <t>9 days ago</t>
        </is>
      </c>
      <c r="K14" s="27" t="inlineStr">
        <is>
          <t>ESCALATED TO LEADERSHIP</t>
        </is>
      </c>
    </row>
    <row r="16" ht="24" customHeight="1">
      <c r="A16" s="28" t="inlineStr">
        <is>
          <t>MANAGER REVIEW &amp; ACKNOWLEDGEMENT STATION (Interactive Overdue Governance)</t>
        </is>
      </c>
    </row>
    <row r="17" ht="26" customHeight="1">
      <c r="A17" s="10" t="inlineStr">
        <is>
          <t>Task ID</t>
        </is>
      </c>
      <c r="B17" s="10" t="inlineStr">
        <is>
          <t>Task Name</t>
        </is>
      </c>
      <c r="C17" s="10" t="inlineStr">
        <is>
          <t>Assigned To</t>
        </is>
      </c>
      <c r="D17" s="10" t="inlineStr">
        <is>
          <t>Overdue Since</t>
        </is>
      </c>
      <c r="E17" s="10" t="inlineStr">
        <is>
          <t>Alert Timestamp</t>
        </is>
      </c>
      <c r="F17" s="10" t="inlineStr">
        <is>
          <t>Manager Acknowledged?</t>
        </is>
      </c>
      <c r="G17" s="10" t="inlineStr">
        <is>
          <t>Manager Action / Follow-up Notes</t>
        </is>
      </c>
      <c r="H17" s="10" t="inlineStr">
        <is>
          <t>Timestamp Acknowledged</t>
        </is>
      </c>
      <c r="I17" s="10" t="inlineStr">
        <is>
          <t>Grace Extension Until</t>
        </is>
      </c>
      <c r="J17" s="10" t="inlineStr">
        <is>
          <t>Escalation Prevented?</t>
        </is>
      </c>
      <c r="K17" s="10" t="inlineStr">
        <is>
          <t>Action</t>
        </is>
      </c>
    </row>
    <row r="18" ht="24" customHeight="1">
      <c r="A18" s="11" t="inlineStr">
        <is>
          <t>TASK-003</t>
        </is>
      </c>
      <c r="B18" s="12" t="inlineStr">
        <is>
          <t>Portal Task B</t>
        </is>
      </c>
      <c r="C18" s="11" t="inlineStr">
        <is>
          <t>Employee C</t>
        </is>
      </c>
      <c r="D18" s="11" t="inlineStr">
        <is>
          <t>2026-10-22</t>
        </is>
      </c>
      <c r="E18" s="11" t="inlineStr">
        <is>
          <t>2026-10-23 17:15</t>
        </is>
      </c>
      <c r="F18" s="29" t="inlineStr">
        <is>
          <t>Pending [Tick/Review]</t>
        </is>
      </c>
      <c r="G18" s="26" t="inlineStr">
        <is>
          <t>Contacted employee; awaiting vendor API sync</t>
        </is>
      </c>
      <c r="H18" s="11" t="inlineStr"/>
      <c r="I18" s="11" t="inlineStr">
        <is>
          <t>Until 20:00 Today</t>
        </is>
      </c>
      <c r="J18" s="11" t="inlineStr">
        <is>
          <t>Pending Ack</t>
        </is>
      </c>
      <c r="K18" s="11" t="inlineStr">
        <is>
          <t>Submit Review</t>
        </is>
      </c>
    </row>
    <row r="19" ht="24" customHeight="1">
      <c r="A19" s="11" t="inlineStr">
        <is>
          <t>TASK-006</t>
        </is>
      </c>
      <c r="B19" s="12" t="inlineStr">
        <is>
          <t>Weekly Security Audit &amp; Ticket</t>
        </is>
      </c>
      <c r="C19" s="11" t="inlineStr">
        <is>
          <t>Employee B</t>
        </is>
      </c>
      <c r="D19" s="11" t="inlineStr">
        <is>
          <t>2026-10-21</t>
        </is>
      </c>
      <c r="E19" s="11" t="inlineStr">
        <is>
          <t>2026-10-22 18:30</t>
        </is>
      </c>
      <c r="F19" s="29" t="inlineStr">
        <is>
          <t>YES (Acknowledged)</t>
        </is>
      </c>
      <c r="G19" s="26" t="inlineStr">
        <is>
          <t>Ticket blocked by vendor portal downtime</t>
        </is>
      </c>
      <c r="H19" s="11" t="inlineStr">
        <is>
          <t>2026-10-22 20:15</t>
        </is>
      </c>
      <c r="I19" s="11" t="inlineStr">
        <is>
          <t>Expired</t>
        </is>
      </c>
      <c r="J19" s="11" t="inlineStr">
        <is>
          <t>Escalated to VP</t>
        </is>
      </c>
      <c r="K19" s="11" t="inlineStr">
        <is>
          <t>Archived</t>
        </is>
      </c>
    </row>
  </sheetData>
  <mergeCells count="14">
    <mergeCell ref="F4:G4"/>
    <mergeCell ref="J4:K4"/>
    <mergeCell ref="J5:K5"/>
    <mergeCell ref="B5:C5"/>
    <mergeCell ref="A7:K7"/>
    <mergeCell ref="F5:G5"/>
    <mergeCell ref="D5:E5"/>
    <mergeCell ref="A2:K2"/>
    <mergeCell ref="A16:K16"/>
    <mergeCell ref="H5:I5"/>
    <mergeCell ref="D4:E4"/>
    <mergeCell ref="H4:I4"/>
    <mergeCell ref="A1:K1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3" customWidth="1" min="4" max="4"/>
    <col width="16" customWidth="1" min="5" max="5"/>
    <col width="24" customWidth="1" min="6" max="6"/>
    <col width="22" customWidth="1" min="7" max="7"/>
    <col width="14" customWidth="1" min="8" max="8"/>
    <col width="16" customWidth="1" min="9" max="9"/>
    <col width="22" customWidth="1" min="10" max="10"/>
    <col width="30" customWidth="1" min="11" max="11"/>
    <col width="34" customWidth="1" min="12" max="12"/>
  </cols>
  <sheetData>
    <row r="1" ht="30" customHeight="1">
      <c r="A1" s="1" t="inlineStr">
        <is>
          <t>ALLO INNOWARE  —  TASK COMPLETIONS AUDIT LOG (Immutable History)</t>
        </is>
      </c>
    </row>
    <row r="2" ht="20" customHeight="1">
      <c r="A2" s="2" t="inlineStr">
        <is>
          <t>Historical ledger recording every completed recurring task cycle, user authentication, timestamp, proof artifact, and turnaround SLA.</t>
        </is>
      </c>
    </row>
    <row r="4" ht="26" customHeight="1">
      <c r="A4" s="9" t="inlineStr">
        <is>
          <t>Log_ID</t>
        </is>
      </c>
      <c r="B4" s="9" t="inlineStr">
        <is>
          <t>Task_ID</t>
        </is>
      </c>
      <c r="C4" s="9" t="inlineStr">
        <is>
          <t>Task_Name</t>
        </is>
      </c>
      <c r="D4" s="9" t="inlineStr">
        <is>
          <t>Cycle_Number</t>
        </is>
      </c>
      <c r="E4" s="9" t="inlineStr">
        <is>
          <t>Assigned_To</t>
        </is>
      </c>
      <c r="F4" s="9" t="inlineStr">
        <is>
          <t>Completed_By_User</t>
        </is>
      </c>
      <c r="G4" s="9" t="inlineStr">
        <is>
          <t>Completed_Timestamp</t>
        </is>
      </c>
      <c r="H4" s="9" t="inlineStr">
        <is>
          <t>Due_Date</t>
        </is>
      </c>
      <c r="I4" s="9" t="inlineStr">
        <is>
          <t>Turnaround_SLA</t>
        </is>
      </c>
      <c r="J4" s="9" t="inlineStr">
        <is>
          <t>Proof_Type</t>
        </is>
      </c>
      <c r="K4" s="9" t="inlineStr">
        <is>
          <t>Ticket_ID_or_Proof_Value</t>
        </is>
      </c>
      <c r="L4" s="9" t="inlineStr">
        <is>
          <t>Completion_Notes</t>
        </is>
      </c>
    </row>
    <row r="5" ht="22" customHeight="1">
      <c r="A5" s="11" t="inlineStr">
        <is>
          <t>LOG-20261022-001</t>
        </is>
      </c>
      <c r="B5" s="11" t="inlineStr">
        <is>
          <t>TASK-001</t>
        </is>
      </c>
      <c r="C5" s="12" t="inlineStr">
        <is>
          <t>Daily Operations Update</t>
        </is>
      </c>
      <c r="D5" s="11" t="n">
        <v>0</v>
      </c>
      <c r="E5" s="11" t="inlineStr">
        <is>
          <t>Employee A</t>
        </is>
      </c>
      <c r="F5" s="12" t="inlineStr">
        <is>
          <t>employee.a@alloinnoware.com</t>
        </is>
      </c>
      <c r="G5" s="11" t="inlineStr">
        <is>
          <t>2026-10-22 16:45:10</t>
        </is>
      </c>
      <c r="H5" s="11" t="inlineStr">
        <is>
          <t>2026-10-22</t>
        </is>
      </c>
      <c r="I5" s="30" t="inlineStr">
        <is>
          <t>ON-TIME</t>
        </is>
      </c>
      <c r="J5" s="11" t="inlineStr">
        <is>
          <t>WhatsApp Confirmation</t>
        </is>
      </c>
      <c r="K5" s="12" t="inlineStr">
        <is>
          <t>WA-CONF-9921 / Posted in Allo Ops</t>
        </is>
      </c>
      <c r="L5" s="12" t="inlineStr">
        <is>
          <t>Dispatched 128 orders, zero delays</t>
        </is>
      </c>
    </row>
    <row r="6" ht="22" customHeight="1">
      <c r="A6" s="11" t="inlineStr">
        <is>
          <t>LOG-20261022-002</t>
        </is>
      </c>
      <c r="B6" s="11" t="inlineStr">
        <is>
          <t>TASK-005</t>
        </is>
      </c>
      <c r="C6" s="12" t="inlineStr">
        <is>
          <t>Daily Logistics Dispatch Check</t>
        </is>
      </c>
      <c r="D6" s="11" t="n">
        <v>0</v>
      </c>
      <c r="E6" s="11" t="inlineStr">
        <is>
          <t>Employee A</t>
        </is>
      </c>
      <c r="F6" s="12" t="inlineStr">
        <is>
          <t>employee.a@alloinnoware.com</t>
        </is>
      </c>
      <c r="G6" s="11" t="inlineStr">
        <is>
          <t>2026-10-22 16:50:22</t>
        </is>
      </c>
      <c r="H6" s="11" t="inlineStr">
        <is>
          <t>2026-10-22</t>
        </is>
      </c>
      <c r="I6" s="30" t="inlineStr">
        <is>
          <t>ON-TIME</t>
        </is>
      </c>
      <c r="J6" s="11" t="inlineStr">
        <is>
          <t>WhatsApp Confirmation</t>
        </is>
      </c>
      <c r="K6" s="12" t="inlineStr">
        <is>
          <t>WA-CONF-9925 / Logistics Sync</t>
        </is>
      </c>
      <c r="L6" s="12" t="inlineStr">
        <is>
          <t>All dock doors cleared and signed off</t>
        </is>
      </c>
    </row>
    <row r="7" ht="22" customHeight="1">
      <c r="A7" s="11" t="inlineStr">
        <is>
          <t>LOG-20261016-003</t>
        </is>
      </c>
      <c r="B7" s="11" t="inlineStr">
        <is>
          <t>TASK-002</t>
        </is>
      </c>
      <c r="C7" s="12" t="inlineStr">
        <is>
          <t>Portal Task A</t>
        </is>
      </c>
      <c r="D7" s="11" t="n">
        <v>0</v>
      </c>
      <c r="E7" s="11" t="inlineStr">
        <is>
          <t>Employee B</t>
        </is>
      </c>
      <c r="F7" s="12" t="inlineStr">
        <is>
          <t>employee.b@alloinnoware.com</t>
        </is>
      </c>
      <c r="G7" s="11" t="inlineStr">
        <is>
          <t>2026-10-16 15:30:00</t>
        </is>
      </c>
      <c r="H7" s="11" t="inlineStr">
        <is>
          <t>2026-10-16</t>
        </is>
      </c>
      <c r="I7" s="30" t="inlineStr">
        <is>
          <t>ON-TIME</t>
        </is>
      </c>
      <c r="J7" s="11" t="inlineStr">
        <is>
          <t>Ticket ID</t>
        </is>
      </c>
      <c r="K7" s="12" t="inlineStr">
        <is>
          <t>TKT-88410</t>
        </is>
      </c>
      <c r="L7" s="12" t="inlineStr">
        <is>
          <t>Vendor reconciliations approved in SAP portal</t>
        </is>
      </c>
    </row>
    <row r="8" ht="22" customHeight="1">
      <c r="A8" s="11" t="inlineStr">
        <is>
          <t>LOG-20261008-004</t>
        </is>
      </c>
      <c r="B8" s="11" t="inlineStr">
        <is>
          <t>TASK-003</t>
        </is>
      </c>
      <c r="C8" s="12" t="inlineStr">
        <is>
          <t>Portal Task B</t>
        </is>
      </c>
      <c r="D8" s="11" t="n">
        <v>0</v>
      </c>
      <c r="E8" s="11" t="inlineStr">
        <is>
          <t>Employee C</t>
        </is>
      </c>
      <c r="F8" s="12" t="inlineStr">
        <is>
          <t>employee.c@alloinnoware.com</t>
        </is>
      </c>
      <c r="G8" s="11" t="inlineStr">
        <is>
          <t>2026-10-07 17:10:00</t>
        </is>
      </c>
      <c r="H8" s="11" t="inlineStr">
        <is>
          <t>2026-10-07</t>
        </is>
      </c>
      <c r="I8" s="30" t="inlineStr">
        <is>
          <t>ON-TIME</t>
        </is>
      </c>
      <c r="J8" s="11" t="inlineStr">
        <is>
          <t>Ticket ID</t>
        </is>
      </c>
      <c r="K8" s="12" t="inlineStr">
        <is>
          <t>TKT-77192</t>
        </is>
      </c>
      <c r="L8" s="12" t="inlineStr">
        <is>
          <t>Bi-weekly physical stock count matched portal figures</t>
        </is>
      </c>
    </row>
    <row r="9" ht="22" customHeight="1">
      <c r="A9" s="11" t="inlineStr">
        <is>
          <t>LOG-20260923-005</t>
        </is>
      </c>
      <c r="B9" s="11" t="inlineStr">
        <is>
          <t>TASK-004</t>
        </is>
      </c>
      <c r="C9" s="12" t="inlineStr">
        <is>
          <t>Portal Task C</t>
        </is>
      </c>
      <c r="D9" s="11" t="n">
        <v>0</v>
      </c>
      <c r="E9" s="11" t="inlineStr">
        <is>
          <t>Employee D</t>
        </is>
      </c>
      <c r="F9" s="12" t="inlineStr">
        <is>
          <t>employee.d@alloinnoware.com</t>
        </is>
      </c>
      <c r="G9" s="11" t="inlineStr">
        <is>
          <t>2026-09-23 16:00:00</t>
        </is>
      </c>
      <c r="H9" s="11" t="inlineStr">
        <is>
          <t>2026-09-23</t>
        </is>
      </c>
      <c r="I9" s="30" t="inlineStr">
        <is>
          <t>ON-TIME</t>
        </is>
      </c>
      <c r="J9" s="11" t="inlineStr">
        <is>
          <t>Ticket ID</t>
        </is>
      </c>
      <c r="K9" s="12" t="inlineStr">
        <is>
          <t>TKT-55410</t>
        </is>
      </c>
      <c r="L9" s="12" t="inlineStr">
        <is>
          <t>Monthly statutory regulatory filings submitted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0" customWidth="1" min="4" max="4"/>
    <col width="22" customWidth="1" min="5" max="5"/>
    <col width="22" customWidth="1" min="6" max="6"/>
    <col width="26" customWidth="1" min="7" max="7"/>
    <col width="34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1" t="inlineStr">
        <is>
          <t>ALLO INNOWARE  —  MANAGER ALERTS &amp; LEADERSHIP ESCALATIONS LOG</t>
        </is>
      </c>
    </row>
    <row r="2" ht="20" customHeight="1">
      <c r="A2" s="2" t="inlineStr">
        <is>
          <t>Complete audit record of automated alerts sent to Managers and escalations dispatched to Leadership to eliminate duplicate spam.</t>
        </is>
      </c>
    </row>
    <row r="4" ht="26" customHeight="1">
      <c r="A4" s="9" t="inlineStr">
        <is>
          <t>Alert_ID</t>
        </is>
      </c>
      <c r="B4" s="9" t="inlineStr">
        <is>
          <t>Task_ID</t>
        </is>
      </c>
      <c r="C4" s="9" t="inlineStr">
        <is>
          <t>Task_Name</t>
        </is>
      </c>
      <c r="D4" s="9" t="inlineStr">
        <is>
          <t>Cycle_#</t>
        </is>
      </c>
      <c r="E4" s="9" t="inlineStr">
        <is>
          <t>Stage</t>
        </is>
      </c>
      <c r="F4" s="9" t="inlineStr">
        <is>
          <t>Trigger_Timestamp</t>
        </is>
      </c>
      <c r="G4" s="9" t="inlineStr">
        <is>
          <t>Recipient_Email</t>
        </is>
      </c>
      <c r="H4" s="9" t="inlineStr">
        <is>
          <t>Subject_Line</t>
        </is>
      </c>
      <c r="I4" s="9" t="inlineStr">
        <is>
          <t>Overdue_Duration</t>
        </is>
      </c>
      <c r="J4" s="9" t="inlineStr">
        <is>
          <t>Manager_Ack_State</t>
        </is>
      </c>
      <c r="K4" s="9" t="inlineStr">
        <is>
          <t>Resolution_Status</t>
        </is>
      </c>
    </row>
    <row r="5" ht="22" customHeight="1">
      <c r="A5" s="11" t="inlineStr">
        <is>
          <t>ESC-20261023-01</t>
        </is>
      </c>
      <c r="B5" s="11" t="inlineStr">
        <is>
          <t>TASK-003</t>
        </is>
      </c>
      <c r="C5" s="12" t="inlineStr">
        <is>
          <t>Portal Task B</t>
        </is>
      </c>
      <c r="D5" s="11" t="n">
        <v>1</v>
      </c>
      <c r="E5" s="31" t="inlineStr">
        <is>
          <t>Stage 1: Manager Alert</t>
        </is>
      </c>
      <c r="F5" s="11" t="inlineStr">
        <is>
          <t>2026-10-23 17:15:00</t>
        </is>
      </c>
      <c r="G5" s="12" t="inlineStr">
        <is>
          <t>manager.ops@alloinnoware.com</t>
        </is>
      </c>
      <c r="H5" s="12" t="inlineStr">
        <is>
          <t>[ALERT] Overdue Recurring Task: Portal Task B (Employee C)</t>
        </is>
      </c>
      <c r="I5" s="11" t="inlineStr">
        <is>
          <t>5.25 hrs overdue</t>
        </is>
      </c>
      <c r="J5" s="11" t="inlineStr">
        <is>
          <t>Pending Review</t>
        </is>
      </c>
      <c r="K5" s="11" t="inlineStr">
        <is>
          <t>ACTIVE ALERT</t>
        </is>
      </c>
    </row>
    <row r="6" ht="22" customHeight="1">
      <c r="A6" s="11" t="inlineStr">
        <is>
          <t>ESC-20261022-02</t>
        </is>
      </c>
      <c r="B6" s="11" t="inlineStr">
        <is>
          <t>TASK-006</t>
        </is>
      </c>
      <c r="C6" s="12" t="inlineStr">
        <is>
          <t>Weekly Security Audit &amp; Ticket</t>
        </is>
      </c>
      <c r="D6" s="11" t="n">
        <v>2</v>
      </c>
      <c r="E6" s="31" t="inlineStr">
        <is>
          <t>Stage 1: Manager Alert</t>
        </is>
      </c>
      <c r="F6" s="11" t="inlineStr">
        <is>
          <t>2026-10-22 18:30:00</t>
        </is>
      </c>
      <c r="G6" s="12" t="inlineStr">
        <is>
          <t>manager.ops@alloinnoware.com</t>
        </is>
      </c>
      <c r="H6" s="12" t="inlineStr">
        <is>
          <t>[ALERT] Overdue Recurring Task: Weekly Security Audit (Employee B)</t>
        </is>
      </c>
      <c r="I6" s="11" t="inlineStr">
        <is>
          <t>24.5 hrs overdue</t>
        </is>
      </c>
      <c r="J6" s="11" t="inlineStr">
        <is>
          <t>Acknowledged</t>
        </is>
      </c>
      <c r="K6" s="11" t="inlineStr">
        <is>
          <t>ACKNOWLEDGED</t>
        </is>
      </c>
    </row>
    <row r="7" ht="22" customHeight="1">
      <c r="A7" s="11" t="inlineStr">
        <is>
          <t>ESC-20261023-03</t>
        </is>
      </c>
      <c r="B7" s="11" t="inlineStr">
        <is>
          <t>TASK-006</t>
        </is>
      </c>
      <c r="C7" s="12" t="inlineStr">
        <is>
          <t>Weekly Security Audit &amp; Ticket</t>
        </is>
      </c>
      <c r="D7" s="11" t="n">
        <v>2</v>
      </c>
      <c r="E7" s="32" t="inlineStr">
        <is>
          <t>Stage 2: Leadership Escalation</t>
        </is>
      </c>
      <c r="F7" s="11" t="inlineStr">
        <is>
          <t>2026-10-23 12:00:00</t>
        </is>
      </c>
      <c r="G7" s="12" t="inlineStr">
        <is>
          <t>leadership@alloinnoware.com</t>
        </is>
      </c>
      <c r="H7" s="12" t="inlineStr">
        <is>
          <t>[ESCALATION] Unresolved Task Past Manager SLA: Weekly Security Audit</t>
        </is>
      </c>
      <c r="I7" s="11" t="inlineStr">
        <is>
          <t>42 hrs overdue</t>
        </is>
      </c>
      <c r="J7" s="11" t="inlineStr">
        <is>
          <t>Ack Expired</t>
        </is>
      </c>
      <c r="K7" s="11" t="inlineStr">
        <is>
          <t>ESCALATED TO LEADERSHIP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4" customWidth="1" min="4" max="4"/>
    <col width="22" customWidth="1" min="5" max="5"/>
    <col width="28" customWidth="1" min="6" max="6"/>
    <col width="24" customWidth="1" min="7" max="7"/>
    <col width="20" customWidth="1" min="8" max="8"/>
  </cols>
  <sheetData>
    <row r="1" ht="30" customHeight="1">
      <c r="A1" s="1" t="inlineStr">
        <is>
          <t>ALLO INNOWARE  —  SYSTEM CONFIGURATION &amp; SLA TIMING RULES</t>
        </is>
      </c>
    </row>
    <row r="2" ht="20" customHeight="1">
      <c r="A2" s="2" t="inlineStr">
        <is>
          <t>Governance parameters: Recurrence frequencies, alert cut-offs, manager response SLA, and leadership escalation rules.</t>
        </is>
      </c>
    </row>
    <row r="4">
      <c r="A4" s="8" t="inlineStr">
        <is>
          <t>OPERATIONAL SLA TIMING MATRIX &amp; ESCALATION THRESHOLDS</t>
        </is>
      </c>
    </row>
    <row r="5" ht="26" customHeight="1">
      <c r="A5" s="9" t="inlineStr">
        <is>
          <t>Frequency Type</t>
        </is>
      </c>
      <c r="B5" s="9" t="inlineStr">
        <is>
          <t>Standard Due Time</t>
        </is>
      </c>
      <c r="C5" s="9" t="inlineStr">
        <is>
          <t>Employee Reminder</t>
        </is>
      </c>
      <c r="D5" s="9" t="inlineStr">
        <is>
          <t>Manager Alert Trigger</t>
        </is>
      </c>
      <c r="E5" s="9" t="inlineStr">
        <is>
          <t>Manager Ack Window</t>
        </is>
      </c>
      <c r="F5" s="9" t="inlineStr">
        <is>
          <t>Leadership Escalation Trigger</t>
        </is>
      </c>
      <c r="G5" s="9" t="inlineStr">
        <is>
          <t>Deduplication Guard</t>
        </is>
      </c>
      <c r="H5" s="9" t="inlineStr">
        <is>
          <t>Business Day Logic</t>
        </is>
      </c>
    </row>
    <row r="6" ht="24" customHeight="1">
      <c r="A6" s="11" t="inlineStr">
        <is>
          <t>Daily</t>
        </is>
      </c>
      <c r="B6" s="11" t="inlineStr">
        <is>
          <t>17:00 IST (Working Day)</t>
        </is>
      </c>
      <c r="C6" s="11" t="inlineStr">
        <is>
          <t>16:00 IST (1 hr before)</t>
        </is>
      </c>
      <c r="D6" s="11" t="inlineStr">
        <is>
          <t>17:15 IST (15 mins past due)</t>
        </is>
      </c>
      <c r="E6" s="11" t="inlineStr">
        <is>
          <t>1 Hour (Until 18:15 IST)</t>
        </is>
      </c>
      <c r="F6" s="11" t="inlineStr">
        <is>
          <t>18:30 IST (Same Day)</t>
        </is>
      </c>
      <c r="G6" s="11" t="inlineStr">
        <is>
          <t>1 Alert per Day / Cycle</t>
        </is>
      </c>
      <c r="H6" s="11" t="inlineStr">
        <is>
          <t>Mon-Fri (Skips Weekends)</t>
        </is>
      </c>
    </row>
    <row r="7" ht="24" customHeight="1">
      <c r="A7" s="11" t="inlineStr">
        <is>
          <t>Every 7 days</t>
        </is>
      </c>
      <c r="B7" s="11" t="inlineStr">
        <is>
          <t>18:00 IST (Due Date)</t>
        </is>
      </c>
      <c r="C7" s="11" t="inlineStr">
        <is>
          <t>09:00 IST (Morning of due date)</t>
        </is>
      </c>
      <c r="D7" s="11" t="inlineStr">
        <is>
          <t>18:30 IST on Due Date</t>
        </is>
      </c>
      <c r="E7" s="11" t="inlineStr">
        <is>
          <t>12 Hours (Until Next Day 09:00)</t>
        </is>
      </c>
      <c r="F7" s="11" t="inlineStr">
        <is>
          <t>Next Day 12:00 IST (+24 hrs)</t>
        </is>
      </c>
      <c r="G7" s="11" t="inlineStr">
        <is>
          <t>1 Alert per Cycle Stage</t>
        </is>
      </c>
      <c r="H7" s="11" t="inlineStr">
        <is>
          <t>Next Working Day if Holiday</t>
        </is>
      </c>
    </row>
    <row r="8" ht="24" customHeight="1">
      <c r="A8" s="11" t="inlineStr">
        <is>
          <t>Every 15 days</t>
        </is>
      </c>
      <c r="B8" s="11" t="inlineStr">
        <is>
          <t>18:00 IST (Due Date)</t>
        </is>
      </c>
      <c r="C8" s="11" t="inlineStr">
        <is>
          <t>24 hrs before due date</t>
        </is>
      </c>
      <c r="D8" s="11" t="inlineStr">
        <is>
          <t>18:30 IST on Due Date</t>
        </is>
      </c>
      <c r="E8" s="11" t="inlineStr">
        <is>
          <t>24 Hours (Next Day 18:30)</t>
        </is>
      </c>
      <c r="F8" s="11" t="inlineStr">
        <is>
          <t>+48 hrs past due date</t>
        </is>
      </c>
      <c r="G8" s="11" t="inlineStr">
        <is>
          <t>1 Alert per Cycle Stage</t>
        </is>
      </c>
      <c r="H8" s="11" t="inlineStr">
        <is>
          <t>Fixed 15-day cycle cadence</t>
        </is>
      </c>
    </row>
    <row r="9" ht="24" customHeight="1">
      <c r="A9" s="11" t="inlineStr">
        <is>
          <t>Every 30 days</t>
        </is>
      </c>
      <c r="B9" s="11" t="inlineStr">
        <is>
          <t>18:00 IST (Due Date)</t>
        </is>
      </c>
      <c r="C9" s="11" t="inlineStr">
        <is>
          <t>48 hrs before due date</t>
        </is>
      </c>
      <c r="D9" s="11" t="inlineStr">
        <is>
          <t>18:30 IST on Due Date</t>
        </is>
      </c>
      <c r="E9" s="11" t="inlineStr">
        <is>
          <t>24 Hours (Next Day 18:30)</t>
        </is>
      </c>
      <c r="F9" s="11" t="inlineStr">
        <is>
          <t>+48 hrs past due date</t>
        </is>
      </c>
      <c r="G9" s="11" t="inlineStr">
        <is>
          <t>1 Alert per Cycle Stage</t>
        </is>
      </c>
      <c r="H9" s="11" t="inlineStr">
        <is>
          <t>Monthly alignment (e.g. 1st/30th)</t>
        </is>
      </c>
    </row>
    <row r="12">
      <c r="A12" s="8" t="inlineStr">
        <is>
          <t>NOTIFICATION RECIPIENTS &amp; INTEGRATION CREDENTIALS</t>
        </is>
      </c>
    </row>
    <row r="13" ht="24" customHeight="1">
      <c r="A13" s="10" t="inlineStr">
        <is>
          <t>Parameter Name</t>
        </is>
      </c>
      <c r="B13" s="10" t="inlineStr">
        <is>
          <t>Configured Value / Email</t>
        </is>
      </c>
      <c r="C13" s="10" t="inlineStr">
        <is>
          <t>Role / Description</t>
        </is>
      </c>
    </row>
    <row r="14" ht="22" customHeight="1">
      <c r="A14" s="33" t="inlineStr">
        <is>
          <t>Manager Alert Email</t>
        </is>
      </c>
      <c r="B14" s="34" t="inlineStr">
        <is>
          <t>operations.manager@alloinnoware.com</t>
        </is>
      </c>
      <c r="C14" s="35" t="inlineStr">
        <is>
          <t>Receives same-day alerts when operational tasks exceed due cut-off</t>
        </is>
      </c>
    </row>
    <row r="15" ht="22" customHeight="1">
      <c r="A15" s="33" t="inlineStr">
        <is>
          <t>Leadership Escalation Email</t>
        </is>
      </c>
      <c r="B15" s="34" t="inlineStr">
        <is>
          <t>leadership.ops@alloinnoware.com</t>
        </is>
      </c>
      <c r="C15" s="35" t="inlineStr">
        <is>
          <t>Receives unacknowledged or critical SLA breaches</t>
        </is>
      </c>
    </row>
    <row r="16" ht="22" customHeight="1">
      <c r="A16" s="33" t="inlineStr">
        <is>
          <t>System Sender Name</t>
        </is>
      </c>
      <c r="B16" s="34" t="inlineStr">
        <is>
          <t>Allo Innoware Automated Task Bot</t>
        </is>
      </c>
      <c r="C16" s="35" t="inlineStr">
        <is>
          <t>Displays as email sender</t>
        </is>
      </c>
    </row>
    <row r="17" ht="22" customHeight="1">
      <c r="A17" s="33" t="inlineStr">
        <is>
          <t>WhatsApp Operations Group</t>
        </is>
      </c>
      <c r="B17" s="34" t="inlineStr">
        <is>
          <t>Allo Innoware Daily Ops Hub</t>
        </is>
      </c>
      <c r="C17" s="35" t="inlineStr">
        <is>
          <t>Target WhatsApp group where daily operational updates are posted</t>
        </is>
      </c>
    </row>
    <row r="18" ht="22" customHeight="1">
      <c r="A18" s="33" t="inlineStr">
        <is>
          <t>WhatsApp Webhook Inbound URL</t>
        </is>
      </c>
      <c r="B18" s="34" t="inlineStr">
        <is>
          <t>https://script.google.com/macros/s/AKfycb.../exec</t>
        </is>
      </c>
      <c r="C18" s="35" t="inlineStr">
        <is>
          <t>Inbound endpoint for auto-capturing WhatsApp message confirmations</t>
        </is>
      </c>
    </row>
    <row r="19" ht="22" customHeight="1">
      <c r="A19" s="33" t="inlineStr">
        <is>
          <t>Prevent Duplicate Email Window</t>
        </is>
      </c>
      <c r="B19" s="34" t="inlineStr">
        <is>
          <t>24 Hours / 1 Alert Per Cycle Stage</t>
        </is>
      </c>
      <c r="C19" s="35" t="inlineStr">
        <is>
          <t>State machine lock prevents re-triggering alert emails if state unchanged</t>
        </is>
      </c>
    </row>
    <row r="20" ht="22" customHeight="1">
      <c r="A20" s="33" t="inlineStr">
        <is>
          <t>Business Working Days</t>
        </is>
      </c>
      <c r="B20" s="34" t="inlineStr">
        <is>
          <t>Monday, Tuesday, Wednesday, Thursday, Friday</t>
        </is>
      </c>
      <c r="C20" s="35" t="inlineStr">
        <is>
          <t>Weekends automatically rolled to Monday</t>
        </is>
      </c>
    </row>
  </sheetData>
  <mergeCells count="4">
    <mergeCell ref="A12:H12"/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2026-10-23T13:29:02Z</dcterms:created>
  <dcterms:modified xsi:type="dcterms:W3CDTF">2026-10-23T13:29:03Z</dcterms:modified>
</cp:coreProperties>
</file>